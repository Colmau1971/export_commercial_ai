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auriciogonzalez/Documents/export_commercial_ai/data/"/>
    </mc:Choice>
  </mc:AlternateContent>
  <xr:revisionPtr revIDLastSave="0" documentId="13_ncr:1_{A0F8180D-BA92-FC43-A706-6EDF9B3192C4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Orden" sheetId="1" r:id="rId1"/>
    <sheet name="Clientes" sheetId="3" r:id="rId2"/>
    <sheet name="Precios" sheetId="2" r:id="rId3"/>
  </sheets>
  <externalReferences>
    <externalReference r:id="rId4"/>
  </externalReferences>
  <definedNames>
    <definedName name="_xlnm.Print_Area" localSheetId="0">Orden!$A:$H</definedName>
    <definedName name="comex">[1]PREMISAS!$D$3:$L$42</definedName>
    <definedName name="iva">[1]PREMISAS!$B$3</definedName>
    <definedName name="mar_comer">[1]PREMISAS!$B$5</definedName>
    <definedName name="safe">[1]PREMISAS!$B$4</definedName>
    <definedName name="tc">[1]PREMISAS!$B$2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K18" i="1" s="1"/>
  <c r="G11" i="1"/>
  <c r="K11" i="2"/>
  <c r="H11" i="2"/>
  <c r="K10" i="2"/>
  <c r="H10" i="2"/>
  <c r="K9" i="2"/>
  <c r="H9" i="2"/>
  <c r="K8" i="2"/>
  <c r="H8" i="2"/>
  <c r="K7" i="2"/>
  <c r="H7" i="2"/>
  <c r="K2" i="2"/>
  <c r="K3" i="2"/>
  <c r="K4" i="2"/>
  <c r="K5" i="2"/>
  <c r="K6" i="2"/>
  <c r="B11" i="1"/>
  <c r="B10" i="1"/>
  <c r="K32" i="1" l="1"/>
  <c r="K31" i="1"/>
  <c r="K39" i="1"/>
  <c r="K38" i="1"/>
  <c r="K30" i="1"/>
  <c r="K33" i="1"/>
  <c r="K25" i="1"/>
  <c r="K23" i="1"/>
  <c r="K20" i="1"/>
  <c r="K17" i="1"/>
  <c r="B17" i="1" s="1"/>
  <c r="K16" i="1"/>
  <c r="B16" i="1" s="1"/>
  <c r="K41" i="1"/>
  <c r="K40" i="1"/>
  <c r="K24" i="1"/>
  <c r="K22" i="1"/>
  <c r="E18" i="1"/>
  <c r="G18" i="1" s="1"/>
  <c r="C18" i="1"/>
  <c r="F18" i="1"/>
  <c r="B18" i="1"/>
  <c r="C16" i="1"/>
  <c r="F17" i="1"/>
  <c r="K37" i="1"/>
  <c r="K29" i="1"/>
  <c r="K21" i="1"/>
  <c r="C17" i="1"/>
  <c r="K36" i="1"/>
  <c r="K15" i="1"/>
  <c r="K35" i="1"/>
  <c r="K27" i="1"/>
  <c r="K19" i="1"/>
  <c r="F16" i="1"/>
  <c r="K28" i="1"/>
  <c r="K42" i="1"/>
  <c r="K34" i="1"/>
  <c r="K26" i="1"/>
  <c r="E17" i="1"/>
  <c r="E16" i="1"/>
  <c r="B5" i="1"/>
  <c r="H2" i="2"/>
  <c r="G16" i="1" l="1"/>
  <c r="H16" i="1" s="1"/>
  <c r="G17" i="1"/>
  <c r="H17" i="1" s="1"/>
  <c r="E15" i="1"/>
  <c r="B15" i="1"/>
  <c r="C15" i="1"/>
  <c r="F15" i="1"/>
  <c r="H18" i="1"/>
  <c r="H3" i="2"/>
  <c r="H6" i="2"/>
  <c r="H5" i="2"/>
  <c r="H4" i="2"/>
  <c r="G15" i="1" l="1"/>
  <c r="H15" i="1" s="1"/>
  <c r="H4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<sst xmlns="http://schemas.openxmlformats.org/spreadsheetml/2006/main" count="129" uniqueCount="74">
  <si>
    <t>FACTURA PROFORMA</t>
  </si>
  <si>
    <t>Empresa:</t>
  </si>
  <si>
    <t>Bimbo Bakeries USA, Inc. </t>
  </si>
  <si>
    <t>NIF:</t>
  </si>
  <si>
    <t>Dirección:</t>
  </si>
  <si>
    <t>Contacto:</t>
  </si>
  <si>
    <t> Jhon Almanzar</t>
  </si>
  <si>
    <t>CLIENTE</t>
  </si>
  <si>
    <t> Fausto Gautreaux</t>
  </si>
  <si>
    <t>Descripción del producto/servicio</t>
  </si>
  <si>
    <t>Cajas</t>
  </si>
  <si>
    <t>Precio Total</t>
  </si>
  <si>
    <t>Forma de Pago</t>
  </si>
  <si>
    <t>Subtotal</t>
  </si>
  <si>
    <t>Total a pagar</t>
  </si>
  <si>
    <t>INCOTERM</t>
  </si>
  <si>
    <t>CIF</t>
  </si>
  <si>
    <t>Número</t>
  </si>
  <si>
    <t>1 849 657-7733</t>
  </si>
  <si>
    <t>Código Interno</t>
  </si>
  <si>
    <t>Código de Barra</t>
  </si>
  <si>
    <t>Numero Orden</t>
  </si>
  <si>
    <t xml:space="preserve">PAIS DE ORIGEN </t>
  </si>
  <si>
    <t>Pan Tostado Integral 2p 210g</t>
  </si>
  <si>
    <t>Pan Tostado doble Fibra 2p 250g</t>
  </si>
  <si>
    <t>Pan Tostado Clasico 1p 210g</t>
  </si>
  <si>
    <t>MARCA</t>
  </si>
  <si>
    <t>CODIGO</t>
  </si>
  <si>
    <t>GRAMOS</t>
  </si>
  <si>
    <t>Precio CIF</t>
  </si>
  <si>
    <t>Caja</t>
  </si>
  <si>
    <t>Pallet</t>
  </si>
  <si>
    <t>Precio CJ</t>
  </si>
  <si>
    <t xml:space="preserve"> Sanissimo</t>
  </si>
  <si>
    <t>144g</t>
  </si>
  <si>
    <t>Bimbo</t>
  </si>
  <si>
    <t>210g</t>
  </si>
  <si>
    <t>250g</t>
  </si>
  <si>
    <t>Milpa Real</t>
  </si>
  <si>
    <t xml:space="preserve">Tostada Ondulada </t>
  </si>
  <si>
    <t>360g</t>
  </si>
  <si>
    <t>Salmas 8Pz 144g</t>
  </si>
  <si>
    <t>Guatemala</t>
  </si>
  <si>
    <t>Piezas por Cj</t>
  </si>
  <si>
    <t>Precio Unitario US$</t>
  </si>
  <si>
    <t>Precio Caja US$</t>
  </si>
  <si>
    <t>45 Days </t>
  </si>
  <si>
    <t>COD BARRAS</t>
  </si>
  <si>
    <t xml:space="preserve"> N.º </t>
  </si>
  <si>
    <t>Fecha</t>
  </si>
  <si>
    <t>DIRECCION</t>
  </si>
  <si>
    <t>NUMERO</t>
  </si>
  <si>
    <t>Columna1</t>
  </si>
  <si>
    <t>Bravo</t>
  </si>
  <si>
    <t>Cliente</t>
  </si>
  <si>
    <t>5525 N. MacArthur BL vd, Suite 850</t>
  </si>
  <si>
    <t>IRVING, TX 750038, Dallas</t>
  </si>
  <si>
    <t>Gregorio Luperon Ave Corner Gustavo M. Ricart Ave</t>
  </si>
  <si>
    <t>Yamile Canario</t>
  </si>
  <si>
    <t>Calle Central, Zona Industrial de Herrera, Santo Domingo</t>
  </si>
  <si>
    <t>Centro Cuestas Nacional S.A.S</t>
  </si>
  <si>
    <t>Descripcion</t>
  </si>
  <si>
    <t>AUCCN</t>
  </si>
  <si>
    <t>Clave</t>
  </si>
  <si>
    <t>809 537-5017</t>
  </si>
  <si>
    <t>809-227-2605</t>
  </si>
  <si>
    <t>Lista</t>
  </si>
  <si>
    <t>AUBRAVO</t>
  </si>
  <si>
    <t>CLAVE</t>
  </si>
  <si>
    <t>GRUPO RAMOS S.A</t>
  </si>
  <si>
    <t>AV. WINSTON CHURCHIL ESQ. ANGEL</t>
  </si>
  <si>
    <t>LISTA_PRECIOS</t>
  </si>
  <si>
    <t>ORIGEN</t>
  </si>
  <si>
    <t>GUATEMALA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</si>
</sst>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(* #,##0_);_(* \(#,##0\);_(* &quot;-&quot;_);_(@_)"/>
    <numFmt numFmtId="167" formatCode="_([$$-1C0A]* #,##0.00_);_([$$-1C0A]* \(#,##0.00\);_([$$-1C0A]* &quot;-&quot;??_);_(@_)"/>
    <numFmt numFmtId="168" formatCode="_-[$$-1C0A]* #,##0.00_ ;_-[$$-1C0A]* \-#,##0.00\ ;_-[$$-1C0A]* &quot;-&quot;??_ ;_-@_ "/>
    <numFmt numFmtId="169" formatCode="&quot;$&quot;\ #,##0.00"/>
    <numFmt numFmtId="170" formatCode="_-&quot;$&quot;\ * #,##0.00_-;\-&quot;$&quot;\ * #,##0.00_-;_-&quot;$&quot;\ * &quot;-&quot;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entury Gothic"/>
      <family val="2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rgb="FF000000"/>
      <name val="Times New Roman"/>
      <family val="1"/>
    </font>
    <font>
      <b/>
      <sz val="11"/>
      <color rgb="FF002060"/>
      <name val="Century Gothic"/>
      <family val="2"/>
    </font>
    <font>
      <sz val="24"/>
      <color rgb="FF002060"/>
      <name val="Century Gothic"/>
      <family val="2"/>
    </font>
    <font>
      <sz val="16"/>
      <color rgb="FF002060"/>
      <name val="Century Gothic"/>
      <family val="2"/>
    </font>
    <font>
      <sz val="16"/>
      <color theme="1"/>
      <name val="Calibri"/>
      <family val="2"/>
      <scheme val="minor"/>
    </font>
    <font>
      <b/>
      <sz val="10"/>
      <color rgb="FF000000"/>
      <name val="Century Gothic"/>
      <family val="2"/>
    </font>
    <font>
      <b/>
      <sz val="9"/>
      <color rgb="FF000000"/>
      <name val="Century Gothic"/>
      <family val="2"/>
    </font>
    <font>
      <sz val="9"/>
      <color rgb="FF002060"/>
      <name val="Century Gothic"/>
      <family val="2"/>
    </font>
    <font>
      <b/>
      <sz val="9"/>
      <color rgb="FFFFFFFF"/>
      <name val="Century Gothic"/>
      <family val="2"/>
    </font>
    <font>
      <b/>
      <sz val="9"/>
      <color rgb="FF00206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5">
    <xf numFmtId="0" fontId="0" fillId="0" borderId="0" xfId="0"/>
    <xf numFmtId="9" fontId="0" fillId="0" borderId="0" xfId="6" applyFont="1"/>
    <xf numFmtId="168" fontId="0" fillId="0" borderId="0" xfId="0" applyNumberFormat="1"/>
    <xf numFmtId="169" fontId="10" fillId="3" borderId="2" xfId="0" applyNumberFormat="1" applyFont="1" applyFill="1" applyBorder="1" applyAlignment="1">
      <alignment horizontal="center" vertical="center" wrapText="1"/>
    </xf>
    <xf numFmtId="1" fontId="10" fillId="3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170" fontId="12" fillId="0" borderId="2" xfId="8" applyNumberFormat="1" applyFont="1" applyBorder="1"/>
    <xf numFmtId="1" fontId="13" fillId="0" borderId="2" xfId="8" applyNumberFormat="1" applyFont="1" applyBorder="1" applyAlignment="1">
      <alignment horizontal="center" vertical="center"/>
    </xf>
    <xf numFmtId="165" fontId="0" fillId="0" borderId="2" xfId="0" applyNumberFormat="1" applyBorder="1"/>
    <xf numFmtId="1" fontId="14" fillId="0" borderId="2" xfId="8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9" fontId="10" fillId="3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170" fontId="0" fillId="0" borderId="6" xfId="8" applyNumberFormat="1" applyFont="1" applyBorder="1"/>
    <xf numFmtId="1" fontId="14" fillId="0" borderId="6" xfId="8" applyNumberFormat="1" applyFont="1" applyBorder="1" applyAlignment="1">
      <alignment horizontal="center" vertical="center"/>
    </xf>
    <xf numFmtId="165" fontId="0" fillId="0" borderId="6" xfId="0" applyNumberFormat="1" applyBorder="1"/>
    <xf numFmtId="1" fontId="0" fillId="0" borderId="6" xfId="0" applyNumberFormat="1" applyBorder="1" applyAlignment="1">
      <alignment horizontal="center"/>
    </xf>
    <xf numFmtId="1" fontId="14" fillId="0" borderId="4" xfId="8" applyNumberFormat="1" applyFont="1" applyBorder="1" applyAlignment="1">
      <alignment horizontal="center" vertical="center"/>
    </xf>
    <xf numFmtId="1" fontId="10" fillId="3" borderId="3" xfId="0" applyNumberFormat="1" applyFont="1" applyFill="1" applyBorder="1" applyAlignment="1">
      <alignment horizontal="center" vertical="center" wrapText="1"/>
    </xf>
    <xf numFmtId="165" fontId="11" fillId="5" borderId="0" xfId="7" applyFont="1" applyFill="1" applyBorder="1" applyAlignment="1">
      <alignment horizontal="center" vertical="center" wrapText="1"/>
    </xf>
    <xf numFmtId="170" fontId="12" fillId="0" borderId="6" xfId="8" applyNumberFormat="1" applyFont="1" applyBorder="1"/>
    <xf numFmtId="0" fontId="0" fillId="4" borderId="0" xfId="0" applyFill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5" fillId="5" borderId="0" xfId="0" applyFont="1" applyFill="1"/>
    <xf numFmtId="0" fontId="18" fillId="5" borderId="0" xfId="0" applyFont="1" applyFill="1" applyAlignment="1">
      <alignment vertical="center"/>
    </xf>
    <xf numFmtId="0" fontId="19" fillId="5" borderId="0" xfId="0" applyFont="1" applyFill="1"/>
    <xf numFmtId="0" fontId="17" fillId="5" borderId="0" xfId="0" applyFont="1" applyFill="1" applyAlignment="1">
      <alignment vertical="center"/>
    </xf>
    <xf numFmtId="0" fontId="0" fillId="5" borderId="0" xfId="0" applyFill="1"/>
    <xf numFmtId="0" fontId="16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5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vertical="center"/>
    </xf>
    <xf numFmtId="14" fontId="0" fillId="5" borderId="0" xfId="0" applyNumberFormat="1" applyFill="1" applyAlignment="1">
      <alignment horizontal="center"/>
    </xf>
    <xf numFmtId="0" fontId="2" fillId="5" borderId="0" xfId="0" applyFont="1" applyFill="1" applyAlignment="1">
      <alignment vertical="center" wrapText="1"/>
    </xf>
    <xf numFmtId="14" fontId="0" fillId="5" borderId="0" xfId="0" applyNumberFormat="1" applyFill="1" applyAlignment="1">
      <alignment horizontal="left" indent="1"/>
    </xf>
    <xf numFmtId="0" fontId="5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horizontal="right" vertical="center"/>
    </xf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3" fillId="2" borderId="0" xfId="0" applyFont="1" applyFill="1" applyAlignment="1">
      <alignment horizontal="center" vertical="center" wrapText="1"/>
    </xf>
    <xf numFmtId="1" fontId="0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2" fillId="0" borderId="0" xfId="7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5" fontId="2" fillId="0" borderId="0" xfId="7" applyFont="1" applyBorder="1" applyAlignment="1">
      <alignment horizontal="right" vertical="center"/>
    </xf>
    <xf numFmtId="167" fontId="2" fillId="0" borderId="0" xfId="0" applyNumberFormat="1" applyFont="1" applyAlignment="1">
      <alignment vertical="center"/>
    </xf>
    <xf numFmtId="0" fontId="23" fillId="4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2" fillId="5" borderId="0" xfId="0" applyFont="1" applyFill="1" applyAlignment="1">
      <alignment horizontal="right" vertical="center"/>
    </xf>
    <xf numFmtId="0" fontId="0" fillId="5" borderId="0" xfId="0" applyFill="1" applyAlignment="1">
      <alignment horizontal="center" vertical="center" wrapText="1"/>
    </xf>
    <xf numFmtId="0" fontId="24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21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1" fontId="13" fillId="0" borderId="4" xfId="8" applyNumberFormat="1" applyFont="1" applyBorder="1" applyAlignment="1">
      <alignment horizontal="center" vertical="center"/>
    </xf>
  </cellXfs>
  <cellStyles count="9">
    <cellStyle name="Millares [0]" xfId="1" builtinId="6"/>
    <cellStyle name="Millares [0] 2" xfId="5" xr:uid="{4B574A29-E30E-45E6-B8A7-56A6C92E9A24}"/>
    <cellStyle name="Moneda" xfId="7" builtinId="4"/>
    <cellStyle name="Moneda [0]" xfId="8" builtinId="7"/>
    <cellStyle name="Moneda 2" xfId="3" xr:uid="{40A24454-F17E-4CA3-93D3-F27053D39D68}"/>
    <cellStyle name="Normal" xfId="0" builtinId="0"/>
    <cellStyle name="Normal 2" xfId="4" xr:uid="{E4D32D74-0126-4A8E-BD3A-1FE5DEC04737}"/>
    <cellStyle name="Normal 3" xfId="2" xr:uid="{1A6DFAA5-2C19-462D-A953-FA9D01447442}"/>
    <cellStyle name="Porcentaje" xfId="6" builtinId="5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-&quot;$&quot;* #,##0.00_-;\-&quot;$&quot;* #,##0.00_-;_-&quot;$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70" formatCode="_-&quot;$&quot;\ * #,##0.00_-;\-&quot;$&quot;\ * #,##0.0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entury Gothic"/>
        <family val="2"/>
        <scheme val="none"/>
      </font>
      <fill>
        <patternFill patternType="solid">
          <fgColor indexed="64"/>
          <bgColor rgb="FF30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8383F05-AA59-4417-9194-BA4CF796BD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microsoft.com/office/2022/10/relationships/richValueRel" Target="richData/richValueRel.xml"/><Relationship Id="rId14" Type="http://schemas.microsoft.com/office/2023/09/relationships/Python" Target="pyth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bconnect-my.sharepoint.com/personal/jhon_almanzar_grupobimbo_com/Documents/RD%20Bimbo/Precios%20y%20Catalogos/LISTAS%20PRECIOS%20_JH.xlsx" TargetMode="External"/><Relationship Id="rId1" Type="http://schemas.openxmlformats.org/officeDocument/2006/relationships/externalLinkPath" Target="https://gbconnect-my.sharepoint.com/personal/jhon_almanzar_grupobimbo_com/Documents/RD%20Bimbo/Precios%20y%20Catalogos/LISTAS%20PRECIOS%20_J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. Independientes (2)"/>
      <sheetName val="PREMISAS"/>
      <sheetName val="CCN - Bravo - Ramos -Ole"/>
      <sheetName val="Bravo"/>
      <sheetName val="S. Independientes"/>
      <sheetName val="MAYOREO"/>
      <sheetName val="Lista SMI Final"/>
      <sheetName val="Lista AU Cadenas Final"/>
      <sheetName val="Ejemplo"/>
    </sheetNames>
    <sheetDataSet>
      <sheetData sheetId="0" refreshError="1"/>
      <sheetData sheetId="1">
        <row r="2">
          <cell r="B2">
            <v>62.6</v>
          </cell>
        </row>
        <row r="3">
          <cell r="B3">
            <v>0.18</v>
          </cell>
          <cell r="E3" t="str">
            <v>ORIGEN</v>
          </cell>
          <cell r="F3" t="str">
            <v>DESTINO</v>
          </cell>
          <cell r="G3" t="str">
            <v>NAVIERA</v>
          </cell>
          <cell r="H3" t="str">
            <v>FLETE INTERNO</v>
          </cell>
          <cell r="I3" t="str">
            <v>GASTO EXPORTACION</v>
          </cell>
          <cell r="J3" t="str">
            <v>FLETES MARITIMOS</v>
          </cell>
          <cell r="K3" t="str">
            <v>gastos destino</v>
          </cell>
          <cell r="L3" t="str">
            <v>TT</v>
          </cell>
        </row>
        <row r="4">
          <cell r="B4">
            <v>0.03</v>
          </cell>
          <cell r="D4" t="str">
            <v>BCABRDEvergreen</v>
          </cell>
          <cell r="E4" t="str">
            <v>BCA</v>
          </cell>
          <cell r="F4" t="str">
            <v>BRD</v>
          </cell>
          <cell r="G4" t="str">
            <v>Evergreen</v>
          </cell>
          <cell r="H4">
            <v>43820</v>
          </cell>
          <cell r="I4">
            <v>9390</v>
          </cell>
          <cell r="J4">
            <v>143980</v>
          </cell>
          <cell r="K4">
            <v>5957</v>
          </cell>
          <cell r="L4">
            <v>11</v>
          </cell>
        </row>
        <row r="5">
          <cell r="B5">
            <v>0.25</v>
          </cell>
          <cell r="D5" t="str">
            <v>BCABRDHapag Lloyd</v>
          </cell>
          <cell r="E5" t="str">
            <v>BCA</v>
          </cell>
          <cell r="F5" t="str">
            <v>BRD</v>
          </cell>
          <cell r="G5" t="str">
            <v>Hapag Lloyd</v>
          </cell>
          <cell r="H5">
            <v>43820</v>
          </cell>
          <cell r="I5">
            <v>9390</v>
          </cell>
          <cell r="J5">
            <v>134590</v>
          </cell>
          <cell r="K5">
            <v>5957</v>
          </cell>
          <cell r="L5">
            <v>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4E3B6-9EAD-4329-8389-0ADCBCC848EA}" name="Tabla1" displayName="Tabla1" ref="A14:H42" totalsRowShown="0" headerRowDxfId="27" dataDxfId="25" headerRowBorderDxfId="26" tableBorderDxfId="24">
  <autoFilter ref="A14:H42" xr:uid="{8A94E3B6-9EAD-4329-8389-0ADCBCC848EA}"/>
  <tableColumns count="8">
    <tableColumn id="1" xr3:uid="{520CA9FA-584B-4358-9B15-E654607E7AA3}" name="Código Interno" dataDxfId="23"/>
    <tableColumn id="2" xr3:uid="{B5EE805F-D79D-4B18-9969-A438C10D73CB}" name="Código de Barra" dataDxfId="22">
      <calculatedColumnFormula>IFERROR(_xlfn.XLOOKUP(K15,Precios!K:K,Precios!I:I,0),"0")</calculatedColumnFormula>
    </tableColumn>
    <tableColumn id="3" xr3:uid="{8E379099-A773-4C78-99DE-A30F428DCAA3}" name="Descripción del producto/servicio" dataDxfId="21"/>
    <tableColumn id="5" xr3:uid="{3D35979A-292B-42DE-B9B7-4C01FAD4E4DB}" name="Cajas" dataDxfId="20"/>
    <tableColumn id="6" xr3:uid="{1C8C5A17-73DF-4E24-BD8B-C3B44F70EC3B}" name="Piezas por Cj" dataDxfId="19"/>
    <tableColumn id="7" xr3:uid="{4AC8BB4B-EFC3-40D6-BD2F-E267A391DA14}" name="Precio Unitario US$" dataDxfId="18"/>
    <tableColumn id="8" xr3:uid="{8E18F1A5-A975-43AC-AC23-157590FF40C9}" name="Precio Caja US$" dataDxfId="17"/>
    <tableColumn id="9" xr3:uid="{5EEA48C5-DAD6-467E-BE56-8D618AF7F476}" name="Precio Total" dataDxfId="1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69CD56-B58B-4ACB-8B3C-F2934DCE7691}" name="Tabla2" displayName="Tabla2" ref="A1:F5" totalsRowShown="0" headerRowDxfId="30">
  <autoFilter ref="A1:F5" xr:uid="{8669CD56-B58B-4ACB-8B3C-F2934DCE7691}"/>
  <tableColumns count="6">
    <tableColumn id="1" xr3:uid="{0D58B185-A9C1-48AD-B2F4-32DF9E217F13}" name="NIF:"/>
    <tableColumn id="2" xr3:uid="{33CBF84B-48C6-447A-BBF2-DD5AA8FCC61A}" name="Cliente"/>
    <tableColumn id="3" xr3:uid="{24888C6A-371D-47AF-9D61-4D5A564AB563}" name="DIRECCION"/>
    <tableColumn id="4" xr3:uid="{54776D73-D261-4857-BA0D-C5404DB9B619}" name="Contacto:" dataDxfId="29"/>
    <tableColumn id="5" xr3:uid="{92F18AB8-E877-464C-B2B7-EB1E14CC628E}" name="NUMERO"/>
    <tableColumn id="6" xr3:uid="{517F7E11-B7D8-4826-98B4-D4A8F078F50D}" name="LISTA_PRECIOS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4FE505-CC4B-404E-AD0E-A96422E28D9D}" name="Tabla3" displayName="Tabla3" ref="A1:M11" totalsRowShown="0" headerRowDxfId="15" dataDxfId="14" tableBorderDxfId="13" dataCellStyle="Moneda [0]">
  <autoFilter ref="A1:M11" xr:uid="{9A4FE505-CC4B-404E-AD0E-A96422E28D9D}"/>
  <tableColumns count="13">
    <tableColumn id="1" xr3:uid="{DA0F2924-236B-47E9-A2A7-9191F873C793}" name="MARCA" dataDxfId="12"/>
    <tableColumn id="2" xr3:uid="{D6ABD749-CE3A-429C-BE83-AC7C508C046F}" name="CODIGO" dataDxfId="11"/>
    <tableColumn id="3" xr3:uid="{2839CEA5-BFD1-4AF4-9992-43115BB826C1}" name="Descripcion" dataDxfId="10"/>
    <tableColumn id="4" xr3:uid="{66385BFB-7AC9-4F92-AEE8-3895D2EC51F5}" name="GRAMOS" dataDxfId="9"/>
    <tableColumn id="5" xr3:uid="{791BE4D0-775A-4584-B7A9-A710D72CA463}" name="Precio CIF" dataDxfId="8" dataCellStyle="Moneda [0]"/>
    <tableColumn id="6" xr3:uid="{7DC72C83-E4B3-4FA6-A4BB-7DFD7B7351DE}" name="Caja" dataDxfId="7" dataCellStyle="Moneda [0]"/>
    <tableColumn id="7" xr3:uid="{E322D55A-4385-489C-B408-E5F854A495AF}" name="Pallet" dataDxfId="6" dataCellStyle="Moneda [0]"/>
    <tableColumn id="11" xr3:uid="{B97156C5-49D3-4846-A5C8-ABD0A02AAA8D}" name="Precio CJ" dataDxfId="5">
      <calculatedColumnFormula>E2*F2</calculatedColumnFormula>
    </tableColumn>
    <tableColumn id="12" xr3:uid="{2C02D87E-8CB1-49F8-A5BE-03855A6C1E9B}" name="COD BARRAS" dataDxfId="4"/>
    <tableColumn id="13" xr3:uid="{E5AD99A8-D6B8-4E4D-B228-7FB94061B422}" name="LISTA_PRECIOS" dataDxfId="3" dataCellStyle="Moneda [0]"/>
    <tableColumn id="14" xr3:uid="{51631B47-0651-4FAD-9063-AA561FBD4C48}" name="Clave" dataDxfId="2" dataCellStyle="Moneda [0]">
      <calculatedColumnFormula>_xlfn.CONCAT(Tabla3[[#This Row],[CODIGO]],Tabla3[[#This Row],[LISTA_PRECIOS]])</calculatedColumnFormula>
    </tableColumn>
    <tableColumn id="16" xr3:uid="{AC660C86-F1B8-4D6F-B5EA-B71D403A6C74}" name="Columna1" dataDxfId="1" dataCellStyle="Moneda [0]"/>
    <tableColumn id="8" xr3:uid="{AC200EC2-556C-E346-8A2C-D4CB607D1887}" name="ORIGEN" dataDxfId="0" dataCellStyle="Moned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M51"/>
  <sheetViews>
    <sheetView showGridLines="0" zoomScale="120" zoomScaleNormal="120" workbookViewId="0">
      <selection activeCell="D6" sqref="D6"/>
    </sheetView>
  </sheetViews>
  <sheetFormatPr baseColWidth="10" defaultColWidth="0" defaultRowHeight="15" zeroHeight="1" x14ac:dyDescent="0.2"/>
  <cols>
    <col min="1" max="1" width="16.83203125" bestFit="1" customWidth="1"/>
    <col min="2" max="2" width="17.6640625" customWidth="1"/>
    <col min="3" max="3" width="31.83203125" customWidth="1"/>
    <col min="4" max="4" width="10.33203125" bestFit="1" customWidth="1"/>
    <col min="5" max="5" width="17.5" customWidth="1"/>
    <col min="6" max="6" width="21.33203125" bestFit="1" customWidth="1"/>
    <col min="7" max="7" width="18.83203125" bestFit="1" customWidth="1"/>
    <col min="8" max="8" width="15.5" bestFit="1" customWidth="1"/>
    <col min="9" max="9" width="5.33203125" hidden="1" customWidth="1"/>
    <col min="10" max="10" width="8.6640625" hidden="1" customWidth="1"/>
    <col min="11" max="11" width="14.5" hidden="1" customWidth="1"/>
    <col min="12" max="12" width="8.6640625" hidden="1" customWidth="1"/>
    <col min="13" max="13" width="0" hidden="1" customWidth="1"/>
    <col min="14" max="16384" width="8.6640625" hidden="1"/>
  </cols>
  <sheetData>
    <row r="1" spans="1:13" x14ac:dyDescent="0.2">
      <c r="A1" s="36"/>
      <c r="B1" s="36"/>
      <c r="C1" s="36"/>
      <c r="D1" s="36"/>
      <c r="E1" s="36"/>
      <c r="F1" s="36"/>
      <c r="G1" s="36"/>
      <c r="H1" s="36"/>
      <c r="I1" s="14"/>
    </row>
    <row r="2" spans="1:13" ht="44.75" customHeight="1" x14ac:dyDescent="0.25">
      <c r="A2" s="37" t="e" vm="1">
        <v>#VALUE!</v>
      </c>
      <c r="B2" s="38" t="s">
        <v>0</v>
      </c>
      <c r="C2" s="39"/>
      <c r="D2" s="40"/>
      <c r="E2" s="40"/>
      <c r="F2" s="40"/>
      <c r="G2" s="40"/>
      <c r="H2" s="40"/>
      <c r="I2" s="82"/>
      <c r="K2" s="78"/>
      <c r="L2" s="78"/>
      <c r="M2" s="33"/>
    </row>
    <row r="3" spans="1:13" ht="15.75" customHeight="1" x14ac:dyDescent="0.2">
      <c r="A3" s="37"/>
      <c r="B3" s="41"/>
      <c r="C3" s="41"/>
      <c r="D3" s="41"/>
      <c r="E3" s="41"/>
      <c r="F3" s="41"/>
      <c r="G3" s="41"/>
      <c r="H3" s="41"/>
      <c r="I3" s="82"/>
    </row>
    <row r="4" spans="1:13" ht="16" x14ac:dyDescent="0.2">
      <c r="A4" s="42" t="s">
        <v>48</v>
      </c>
      <c r="B4" s="43"/>
      <c r="C4" s="36"/>
      <c r="D4" s="44"/>
      <c r="E4" s="44"/>
      <c r="F4" s="42" t="s">
        <v>5</v>
      </c>
      <c r="G4" s="45" t="s">
        <v>6</v>
      </c>
      <c r="H4" s="46"/>
      <c r="I4" s="82"/>
    </row>
    <row r="5" spans="1:13" ht="16" x14ac:dyDescent="0.2">
      <c r="A5" s="42" t="s">
        <v>49</v>
      </c>
      <c r="B5" s="47">
        <f ca="1">TODAY()</f>
        <v>46171</v>
      </c>
      <c r="C5" s="41"/>
      <c r="D5" s="44"/>
      <c r="E5" s="44"/>
      <c r="F5" s="42" t="s">
        <v>17</v>
      </c>
      <c r="G5" s="45" t="s">
        <v>18</v>
      </c>
      <c r="H5" s="36"/>
      <c r="I5" s="82"/>
    </row>
    <row r="6" spans="1:13" x14ac:dyDescent="0.2">
      <c r="A6" s="42" t="s">
        <v>1</v>
      </c>
      <c r="B6" s="83" t="s">
        <v>2</v>
      </c>
      <c r="C6" s="83"/>
      <c r="D6" s="41"/>
      <c r="E6" s="41"/>
      <c r="F6" s="42"/>
      <c r="G6" s="48"/>
      <c r="H6" s="41"/>
      <c r="I6" s="82"/>
    </row>
    <row r="7" spans="1:13" x14ac:dyDescent="0.2">
      <c r="A7" s="42" t="s">
        <v>4</v>
      </c>
      <c r="B7" s="49" t="s">
        <v>55</v>
      </c>
      <c r="C7" s="47"/>
      <c r="D7" s="50"/>
      <c r="E7" s="50"/>
      <c r="F7" s="50"/>
      <c r="G7" s="36"/>
      <c r="H7" s="36"/>
      <c r="I7" s="82"/>
    </row>
    <row r="8" spans="1:13" x14ac:dyDescent="0.2">
      <c r="A8" s="42"/>
      <c r="B8" s="49" t="s">
        <v>56</v>
      </c>
      <c r="C8" s="47"/>
      <c r="D8" s="41"/>
      <c r="E8" s="51"/>
      <c r="F8" s="51"/>
      <c r="G8" s="43"/>
      <c r="H8" s="48"/>
      <c r="I8" s="82"/>
    </row>
    <row r="9" spans="1:13" x14ac:dyDescent="0.2">
      <c r="A9" s="41"/>
      <c r="B9" s="41"/>
      <c r="C9" s="41"/>
      <c r="D9" s="41"/>
      <c r="E9" s="41"/>
      <c r="F9" s="41"/>
      <c r="G9" s="41"/>
      <c r="H9" s="41"/>
      <c r="I9" s="82"/>
    </row>
    <row r="10" spans="1:13" ht="19" x14ac:dyDescent="0.2">
      <c r="A10" s="52" t="s">
        <v>7</v>
      </c>
      <c r="B10" s="80" t="str">
        <f>_xlfn.XLOOKUP(B13,Clientes!A:A,Clientes!B:B,0)</f>
        <v>Bravo</v>
      </c>
      <c r="C10" s="80"/>
      <c r="D10" s="53"/>
      <c r="E10" s="53"/>
      <c r="F10" s="52" t="s">
        <v>5</v>
      </c>
      <c r="G10" s="54"/>
      <c r="H10" s="53"/>
      <c r="I10" s="82"/>
    </row>
    <row r="11" spans="1:13" ht="16" x14ac:dyDescent="0.2">
      <c r="A11" s="52" t="s">
        <v>4</v>
      </c>
      <c r="B11" s="79" t="str">
        <f>_xlfn.XLOOKUP(B13,Clientes!A:A,Clientes!C:C,0)</f>
        <v>Calle Central, Zona Industrial de Herrera, Santo Domingo</v>
      </c>
      <c r="C11" s="79"/>
      <c r="D11" s="79"/>
      <c r="E11" s="55"/>
      <c r="F11" s="52" t="s">
        <v>17</v>
      </c>
      <c r="G11" s="54" t="str">
        <f>_xlfn.XLOOKUP(B13,Clientes!A:A,Clientes!E:E,0)</f>
        <v>809-227-2605</v>
      </c>
      <c r="H11" s="56"/>
      <c r="I11" s="82"/>
    </row>
    <row r="12" spans="1:13" x14ac:dyDescent="0.2">
      <c r="A12" s="52" t="s">
        <v>21</v>
      </c>
      <c r="B12" s="57"/>
      <c r="C12" s="58"/>
      <c r="D12" s="58"/>
      <c r="E12" s="59"/>
      <c r="F12" s="52" t="s">
        <v>66</v>
      </c>
      <c r="G12" s="60" t="str">
        <f>_xlfn.XLOOKUP(B13,Clientes!A:A,Clientes!F:F,0)</f>
        <v>AUBRAVO</v>
      </c>
      <c r="H12" s="61"/>
      <c r="I12" s="82"/>
    </row>
    <row r="13" spans="1:13" ht="28.5" customHeight="1" x14ac:dyDescent="0.2">
      <c r="A13" s="52" t="s">
        <v>3</v>
      </c>
      <c r="B13" s="59">
        <v>125020</v>
      </c>
      <c r="C13" s="81"/>
      <c r="D13" s="81"/>
      <c r="E13" s="59"/>
      <c r="F13" s="59"/>
      <c r="G13" s="57"/>
      <c r="H13" s="62"/>
      <c r="I13" s="82"/>
    </row>
    <row r="14" spans="1:13" x14ac:dyDescent="0.2">
      <c r="A14" s="63" t="s">
        <v>19</v>
      </c>
      <c r="B14" s="63" t="s">
        <v>20</v>
      </c>
      <c r="C14" s="63" t="s">
        <v>9</v>
      </c>
      <c r="D14" s="63" t="s">
        <v>10</v>
      </c>
      <c r="E14" s="63" t="s">
        <v>43</v>
      </c>
      <c r="F14" s="63" t="s">
        <v>44</v>
      </c>
      <c r="G14" s="63" t="s">
        <v>45</v>
      </c>
      <c r="H14" s="63" t="s">
        <v>11</v>
      </c>
      <c r="I14" s="82"/>
      <c r="K14" s="34" t="s">
        <v>68</v>
      </c>
    </row>
    <row r="15" spans="1:13" x14ac:dyDescent="0.2">
      <c r="A15">
        <v>504757</v>
      </c>
      <c r="B15" s="64">
        <f>IFERROR(_xlfn.XLOOKUP(K15,Precios!K:K,Precios!I:I,0),"0")</f>
        <v>658480001101</v>
      </c>
      <c r="C15" s="65" t="str">
        <f>_xlfn.XLOOKUP(K15,Precios!K:K,Precios!C:C,0)</f>
        <v>Salmas 8Pz 144g</v>
      </c>
      <c r="D15" s="35">
        <v>349</v>
      </c>
      <c r="E15" s="35">
        <f>_xlfn.XLOOKUP(K15,Precios!K:K,Precios!F:F,0)</f>
        <v>20</v>
      </c>
      <c r="F15" s="35">
        <f>_xlfn.XLOOKUP(K15,Precios!K:K,Precios!E:E,0)</f>
        <v>2.2599999999999998</v>
      </c>
      <c r="G15" s="66">
        <f>Tabla1[[#This Row],[Piezas por Cj]]*Tabla1[[#This Row],[Precio Unitario US$]]</f>
        <v>45.199999999999996</v>
      </c>
      <c r="H15" s="67">
        <f>G15*D15</f>
        <v>15774.8</v>
      </c>
      <c r="I15" s="82"/>
      <c r="K15" s="2" t="str">
        <f>_xlfn.CONCAT(Tabla1[[#This Row],[Código Interno]],$G$12)</f>
        <v>504757AUBRAVO</v>
      </c>
    </row>
    <row r="16" spans="1:13" x14ac:dyDescent="0.2">
      <c r="A16" s="68">
        <v>24184</v>
      </c>
      <c r="B16" s="64">
        <f>IFERROR(_xlfn.XLOOKUP(K16,Precios!K:K,Precios!I:I,0),"0")</f>
        <v>7441029507041</v>
      </c>
      <c r="C16" s="65" t="str">
        <f>_xlfn.XLOOKUP(K16,Precios!K:K,Precios!C:C,0)</f>
        <v>Pan Tostado Integral 2p 210g</v>
      </c>
      <c r="D16" s="35">
        <v>20</v>
      </c>
      <c r="E16" s="35">
        <f>_xlfn.XLOOKUP(K16,Precios!K:K,Precios!F:F,0)</f>
        <v>42</v>
      </c>
      <c r="F16" s="35">
        <f>_xlfn.XLOOKUP(K16,Precios!K:K,Precios!E:E,0)</f>
        <v>1.7</v>
      </c>
      <c r="G16" s="66">
        <f>Tabla1[[#This Row],[Piezas por Cj]]*Tabla1[[#This Row],[Precio Unitario US$]]</f>
        <v>71.399999999999991</v>
      </c>
      <c r="H16" s="67">
        <f>G16*D16</f>
        <v>1427.9999999999998</v>
      </c>
      <c r="I16" s="82"/>
      <c r="K16" s="2" t="str">
        <f>_xlfn.CONCAT(Tabla1[[#This Row],[Código Interno]],$G$12)</f>
        <v>24184AUBRAVO</v>
      </c>
    </row>
    <row r="17" spans="1:11" x14ac:dyDescent="0.2">
      <c r="A17" s="14">
        <v>1233</v>
      </c>
      <c r="B17" s="64">
        <f>IFERROR(_xlfn.XLOOKUP(K17,Precios!K:K,Precios!I:I,0),"0")</f>
        <v>7441029556025</v>
      </c>
      <c r="C17" s="65" t="str">
        <f>_xlfn.XLOOKUP(K17,Precios!K:K,Precios!C:C,0)</f>
        <v>Pan Tostado doble Fibra 2p 250g</v>
      </c>
      <c r="D17" s="35">
        <v>40</v>
      </c>
      <c r="E17" s="35">
        <f>_xlfn.XLOOKUP(K17,Precios!K:K,Precios!F:F,0)</f>
        <v>42</v>
      </c>
      <c r="F17" s="35">
        <f>_xlfn.XLOOKUP(K17,Precios!K:K,Precios!E:E,0)</f>
        <v>1.7</v>
      </c>
      <c r="G17" s="66">
        <f>Tabla1[[#This Row],[Piezas por Cj]]*Tabla1[[#This Row],[Precio Unitario US$]]</f>
        <v>71.399999999999991</v>
      </c>
      <c r="H17" s="67">
        <f>G17*D17</f>
        <v>2855.9999999999995</v>
      </c>
      <c r="I17" s="82"/>
      <c r="K17" s="2" t="str">
        <f>_xlfn.CONCAT(Tabla1[[#This Row],[Código Interno]],$G$12)</f>
        <v>1233AUBRAVO</v>
      </c>
    </row>
    <row r="18" spans="1:11" x14ac:dyDescent="0.2">
      <c r="A18" s="14">
        <v>505252</v>
      </c>
      <c r="B18" s="64">
        <f>IFERROR(_xlfn.XLOOKUP(K18,Precios!K:K,Precios!I:I,0),"0")</f>
        <v>7441029500400</v>
      </c>
      <c r="C18" s="65" t="str">
        <f>_xlfn.XLOOKUP(K18,Precios!K:K,Precios!C:C,0)</f>
        <v>Pan Tostado Clasico 1p 210g</v>
      </c>
      <c r="D18" s="35">
        <v>40</v>
      </c>
      <c r="E18" s="35">
        <f>_xlfn.XLOOKUP(K18,Precios!K:K,Precios!F:F,0)</f>
        <v>42</v>
      </c>
      <c r="F18" s="35">
        <f>_xlfn.XLOOKUP(K18,Precios!K:K,Precios!E:E,0)</f>
        <v>1.7</v>
      </c>
      <c r="G18" s="66">
        <f>Tabla1[[#This Row],[Piezas por Cj]]*Tabla1[[#This Row],[Precio Unitario US$]]</f>
        <v>71.399999999999991</v>
      </c>
      <c r="H18" s="67">
        <f>G18*D18</f>
        <v>2855.9999999999995</v>
      </c>
      <c r="I18" s="82"/>
      <c r="K18" s="2" t="str">
        <f>_xlfn.CONCAT(Tabla1[[#This Row],[Código Interno]],$G$12)</f>
        <v>505252AUBRAVO</v>
      </c>
    </row>
    <row r="19" spans="1:11" x14ac:dyDescent="0.2">
      <c r="A19" s="14"/>
      <c r="B19" s="64"/>
      <c r="C19" s="65"/>
      <c r="D19" s="35"/>
      <c r="E19" s="35"/>
      <c r="F19" s="35"/>
      <c r="G19" s="69"/>
      <c r="H19" s="70"/>
      <c r="I19" s="82"/>
      <c r="K19" s="2" t="str">
        <f>_xlfn.CONCAT(Tabla1[[#This Row],[Código Interno]],$G$12)</f>
        <v>AUBRAVO</v>
      </c>
    </row>
    <row r="20" spans="1:11" x14ac:dyDescent="0.2">
      <c r="A20" s="14"/>
      <c r="B20" s="64"/>
      <c r="C20" s="65"/>
      <c r="D20" s="35"/>
      <c r="E20" s="35"/>
      <c r="F20" s="35"/>
      <c r="G20" s="69"/>
      <c r="H20" s="70"/>
      <c r="I20" s="82"/>
      <c r="K20" s="2" t="str">
        <f>_xlfn.CONCAT(Tabla1[[#This Row],[Código Interno]],$G$12)</f>
        <v>AUBRAVO</v>
      </c>
    </row>
    <row r="21" spans="1:11" x14ac:dyDescent="0.2">
      <c r="A21" s="14"/>
      <c r="B21" s="64"/>
      <c r="C21" s="65"/>
      <c r="D21" s="35"/>
      <c r="E21" s="35"/>
      <c r="F21" s="35"/>
      <c r="G21" s="69"/>
      <c r="H21" s="70"/>
      <c r="I21" s="82"/>
      <c r="K21" s="2" t="str">
        <f>_xlfn.CONCAT(Tabla1[[#This Row],[Código Interno]],$G$12)</f>
        <v>AUBRAVO</v>
      </c>
    </row>
    <row r="22" spans="1:11" x14ac:dyDescent="0.2">
      <c r="A22" s="14"/>
      <c r="B22" s="64"/>
      <c r="C22" s="65"/>
      <c r="D22" s="35"/>
      <c r="E22" s="35"/>
      <c r="F22" s="35"/>
      <c r="G22" s="69"/>
      <c r="H22" s="70"/>
      <c r="I22" s="82"/>
      <c r="K22" s="2" t="str">
        <f>_xlfn.CONCAT(Tabla1[[#This Row],[Código Interno]],$G$12)</f>
        <v>AUBRAVO</v>
      </c>
    </row>
    <row r="23" spans="1:11" x14ac:dyDescent="0.2">
      <c r="A23" s="14"/>
      <c r="B23" s="64"/>
      <c r="C23" s="65"/>
      <c r="D23" s="35"/>
      <c r="E23" s="35"/>
      <c r="F23" s="35"/>
      <c r="G23" s="69"/>
      <c r="H23" s="70"/>
      <c r="I23" s="82"/>
      <c r="K23" s="2" t="str">
        <f>_xlfn.CONCAT(Tabla1[[#This Row],[Código Interno]],$G$12)</f>
        <v>AUBRAVO</v>
      </c>
    </row>
    <row r="24" spans="1:11" x14ac:dyDescent="0.2">
      <c r="A24" s="14"/>
      <c r="B24" s="64"/>
      <c r="C24" s="65"/>
      <c r="D24" s="35"/>
      <c r="E24" s="35"/>
      <c r="F24" s="35"/>
      <c r="G24" s="69"/>
      <c r="H24" s="70"/>
      <c r="I24" s="82"/>
      <c r="K24" s="2" t="str">
        <f>_xlfn.CONCAT(Tabla1[[#This Row],[Código Interno]],$G$12)</f>
        <v>AUBRAVO</v>
      </c>
    </row>
    <row r="25" spans="1:11" x14ac:dyDescent="0.2">
      <c r="A25" s="14"/>
      <c r="B25" s="64"/>
      <c r="C25" s="65"/>
      <c r="D25" s="35"/>
      <c r="E25" s="35"/>
      <c r="F25" s="35"/>
      <c r="G25" s="69"/>
      <c r="H25" s="70"/>
      <c r="I25" s="82"/>
      <c r="K25" s="2" t="str">
        <f>_xlfn.CONCAT(Tabla1[[#This Row],[Código Interno]],$G$12)</f>
        <v>AUBRAVO</v>
      </c>
    </row>
    <row r="26" spans="1:11" x14ac:dyDescent="0.2">
      <c r="A26" s="14"/>
      <c r="B26" s="64"/>
      <c r="C26" s="65"/>
      <c r="D26" s="35"/>
      <c r="E26" s="35"/>
      <c r="F26" s="35"/>
      <c r="G26" s="69"/>
      <c r="H26" s="70"/>
      <c r="I26" s="82"/>
      <c r="K26" s="2" t="str">
        <f>_xlfn.CONCAT(Tabla1[[#This Row],[Código Interno]],$G$12)</f>
        <v>AUBRAVO</v>
      </c>
    </row>
    <row r="27" spans="1:11" x14ac:dyDescent="0.2">
      <c r="A27" s="14"/>
      <c r="B27" s="64"/>
      <c r="C27" s="65"/>
      <c r="D27" s="35"/>
      <c r="E27" s="35"/>
      <c r="F27" s="35"/>
      <c r="G27" s="69"/>
      <c r="H27" s="70"/>
      <c r="I27" s="82"/>
      <c r="K27" s="2" t="str">
        <f>_xlfn.CONCAT(Tabla1[[#This Row],[Código Interno]],$G$12)</f>
        <v>AUBRAVO</v>
      </c>
    </row>
    <row r="28" spans="1:11" x14ac:dyDescent="0.2">
      <c r="A28" s="14"/>
      <c r="B28" s="64"/>
      <c r="C28" s="65"/>
      <c r="D28" s="35"/>
      <c r="E28" s="35"/>
      <c r="F28" s="35"/>
      <c r="G28" s="69"/>
      <c r="H28" s="70"/>
      <c r="I28" s="82"/>
      <c r="K28" s="2" t="str">
        <f>_xlfn.CONCAT(Tabla1[[#This Row],[Código Interno]],$G$12)</f>
        <v>AUBRAVO</v>
      </c>
    </row>
    <row r="29" spans="1:11" x14ac:dyDescent="0.2">
      <c r="A29" s="14"/>
      <c r="B29" s="64"/>
      <c r="C29" s="65"/>
      <c r="D29" s="35"/>
      <c r="E29" s="35"/>
      <c r="F29" s="35"/>
      <c r="G29" s="69"/>
      <c r="H29" s="70"/>
      <c r="I29" s="82"/>
      <c r="K29" s="2" t="str">
        <f>_xlfn.CONCAT(Tabla1[[#This Row],[Código Interno]],$G$12)</f>
        <v>AUBRAVO</v>
      </c>
    </row>
    <row r="30" spans="1:11" x14ac:dyDescent="0.2">
      <c r="A30" s="14"/>
      <c r="B30" s="64"/>
      <c r="C30" s="65"/>
      <c r="D30" s="35"/>
      <c r="E30" s="35"/>
      <c r="F30" s="35"/>
      <c r="G30" s="69"/>
      <c r="H30" s="70"/>
      <c r="I30" s="82"/>
      <c r="K30" s="2" t="str">
        <f>_xlfn.CONCAT(Tabla1[[#This Row],[Código Interno]],$G$12)</f>
        <v>AUBRAVO</v>
      </c>
    </row>
    <row r="31" spans="1:11" x14ac:dyDescent="0.2">
      <c r="A31" s="14"/>
      <c r="B31" s="64"/>
      <c r="C31" s="65"/>
      <c r="D31" s="35"/>
      <c r="E31" s="35"/>
      <c r="F31" s="35"/>
      <c r="G31" s="69"/>
      <c r="H31" s="70"/>
      <c r="I31" s="82"/>
      <c r="K31" s="2" t="str">
        <f>_xlfn.CONCAT(Tabla1[[#This Row],[Código Interno]],$G$12)</f>
        <v>AUBRAVO</v>
      </c>
    </row>
    <row r="32" spans="1:11" x14ac:dyDescent="0.2">
      <c r="A32" s="14"/>
      <c r="B32" s="64"/>
      <c r="C32" s="65"/>
      <c r="D32" s="35"/>
      <c r="E32" s="35"/>
      <c r="F32" s="35"/>
      <c r="G32" s="69"/>
      <c r="H32" s="70"/>
      <c r="I32" s="82"/>
      <c r="K32" s="2" t="str">
        <f>_xlfn.CONCAT(Tabla1[[#This Row],[Código Interno]],$G$12)</f>
        <v>AUBRAVO</v>
      </c>
    </row>
    <row r="33" spans="1:11" x14ac:dyDescent="0.2">
      <c r="A33" s="14"/>
      <c r="B33" s="64"/>
      <c r="C33" s="65"/>
      <c r="D33" s="35"/>
      <c r="E33" s="35"/>
      <c r="F33" s="35"/>
      <c r="G33" s="69"/>
      <c r="H33" s="70"/>
      <c r="I33" s="82"/>
      <c r="K33" s="2" t="str">
        <f>_xlfn.CONCAT(Tabla1[[#This Row],[Código Interno]],$G$12)</f>
        <v>AUBRAVO</v>
      </c>
    </row>
    <row r="34" spans="1:11" x14ac:dyDescent="0.2">
      <c r="A34" s="14"/>
      <c r="B34" s="64"/>
      <c r="C34" s="65"/>
      <c r="D34" s="35"/>
      <c r="E34" s="35"/>
      <c r="F34" s="35"/>
      <c r="G34" s="69"/>
      <c r="H34" s="70"/>
      <c r="I34" s="82"/>
      <c r="K34" s="2" t="str">
        <f>_xlfn.CONCAT(Tabla1[[#This Row],[Código Interno]],$G$12)</f>
        <v>AUBRAVO</v>
      </c>
    </row>
    <row r="35" spans="1:11" x14ac:dyDescent="0.2">
      <c r="A35" s="14"/>
      <c r="B35" s="64"/>
      <c r="C35" s="65"/>
      <c r="D35" s="35"/>
      <c r="E35" s="35"/>
      <c r="F35" s="35"/>
      <c r="G35" s="69"/>
      <c r="H35" s="70"/>
      <c r="I35" s="82"/>
      <c r="K35" s="2" t="str">
        <f>_xlfn.CONCAT(Tabla1[[#This Row],[Código Interno]],$G$12)</f>
        <v>AUBRAVO</v>
      </c>
    </row>
    <row r="36" spans="1:11" x14ac:dyDescent="0.2">
      <c r="A36" s="14"/>
      <c r="B36" s="64"/>
      <c r="C36" s="65"/>
      <c r="D36" s="35"/>
      <c r="E36" s="35"/>
      <c r="F36" s="35"/>
      <c r="G36" s="69"/>
      <c r="H36" s="70"/>
      <c r="I36" s="82"/>
      <c r="K36" s="2" t="str">
        <f>_xlfn.CONCAT(Tabla1[[#This Row],[Código Interno]],$G$12)</f>
        <v>AUBRAVO</v>
      </c>
    </row>
    <row r="37" spans="1:11" x14ac:dyDescent="0.2">
      <c r="A37" s="14"/>
      <c r="B37" s="64"/>
      <c r="C37" s="65"/>
      <c r="D37" s="35"/>
      <c r="E37" s="35"/>
      <c r="F37" s="35"/>
      <c r="G37" s="69"/>
      <c r="H37" s="70"/>
      <c r="I37" s="82"/>
      <c r="K37" s="2" t="str">
        <f>_xlfn.CONCAT(Tabla1[[#This Row],[Código Interno]],$G$12)</f>
        <v>AUBRAVO</v>
      </c>
    </row>
    <row r="38" spans="1:11" x14ac:dyDescent="0.2">
      <c r="A38" s="14"/>
      <c r="B38" s="64"/>
      <c r="C38" s="65"/>
      <c r="D38" s="35"/>
      <c r="E38" s="35"/>
      <c r="F38" s="35"/>
      <c r="G38" s="69"/>
      <c r="H38" s="70"/>
      <c r="I38" s="82"/>
      <c r="K38" s="2" t="str">
        <f>_xlfn.CONCAT(Tabla1[[#This Row],[Código Interno]],$G$12)</f>
        <v>AUBRAVO</v>
      </c>
    </row>
    <row r="39" spans="1:11" x14ac:dyDescent="0.2">
      <c r="A39" s="14"/>
      <c r="B39" s="64"/>
      <c r="C39" s="65"/>
      <c r="D39" s="35"/>
      <c r="E39" s="35"/>
      <c r="F39" s="35"/>
      <c r="G39" s="69"/>
      <c r="H39" s="67"/>
      <c r="I39" s="82"/>
      <c r="K39" s="2" t="str">
        <f>_xlfn.CONCAT(Tabla1[[#This Row],[Código Interno]],$G$12)</f>
        <v>AUBRAVO</v>
      </c>
    </row>
    <row r="40" spans="1:11" x14ac:dyDescent="0.2">
      <c r="A40" s="14"/>
      <c r="B40" s="64"/>
      <c r="C40" s="65"/>
      <c r="D40" s="35"/>
      <c r="E40" s="35"/>
      <c r="F40" s="35"/>
      <c r="G40" s="69"/>
      <c r="H40" s="67"/>
      <c r="I40" s="82"/>
      <c r="K40" s="2" t="str">
        <f>_xlfn.CONCAT(Tabla1[[#This Row],[Código Interno]],$G$12)</f>
        <v>AUBRAVO</v>
      </c>
    </row>
    <row r="41" spans="1:11" x14ac:dyDescent="0.2">
      <c r="A41" s="14"/>
      <c r="B41" s="64"/>
      <c r="C41" s="65"/>
      <c r="D41" s="35"/>
      <c r="E41" s="35"/>
      <c r="F41" s="35"/>
      <c r="G41" s="69"/>
      <c r="H41" s="67"/>
      <c r="I41" s="82"/>
      <c r="K41" s="2" t="str">
        <f>_xlfn.CONCAT(Tabla1[[#This Row],[Código Interno]],$G$12)</f>
        <v>AUBRAVO</v>
      </c>
    </row>
    <row r="42" spans="1:11" x14ac:dyDescent="0.2">
      <c r="A42" s="14"/>
      <c r="B42" s="64"/>
      <c r="C42" s="65"/>
      <c r="D42" s="35"/>
      <c r="E42" s="35"/>
      <c r="F42" s="35"/>
      <c r="G42" s="69"/>
      <c r="H42" s="67"/>
      <c r="I42" s="82"/>
      <c r="K42" s="2" t="str">
        <f>_xlfn.CONCAT(Tabla1[[#This Row],[Código Interno]],$G$12)</f>
        <v>AUBRAVO</v>
      </c>
    </row>
    <row r="43" spans="1:11" ht="19.5" customHeight="1" x14ac:dyDescent="0.2">
      <c r="B43" s="71"/>
      <c r="C43" s="71"/>
      <c r="E43" s="52"/>
      <c r="F43" s="52"/>
      <c r="I43" s="82"/>
    </row>
    <row r="44" spans="1:11" ht="15.75" customHeight="1" x14ac:dyDescent="0.2">
      <c r="A44" s="41"/>
      <c r="B44" s="72"/>
      <c r="C44" s="72"/>
      <c r="E44" s="52"/>
      <c r="F44" s="52"/>
      <c r="G44" s="73" t="s">
        <v>13</v>
      </c>
      <c r="H44" s="74"/>
      <c r="I44" s="82"/>
    </row>
    <row r="45" spans="1:11" ht="15.75" customHeight="1" x14ac:dyDescent="0.2">
      <c r="A45" s="75" t="s">
        <v>12</v>
      </c>
      <c r="B45" s="72"/>
      <c r="C45" s="72"/>
      <c r="E45" s="52"/>
      <c r="F45" s="52"/>
      <c r="G45" s="73" t="s">
        <v>14</v>
      </c>
      <c r="H45" s="31">
        <f>SUM(H15:H42)</f>
        <v>22914.799999999999</v>
      </c>
      <c r="I45" s="82"/>
    </row>
    <row r="46" spans="1:11" ht="15.75" customHeight="1" x14ac:dyDescent="0.2">
      <c r="A46" s="76" t="s">
        <v>46</v>
      </c>
      <c r="B46" s="72"/>
      <c r="C46" s="72"/>
      <c r="E46" s="52"/>
      <c r="F46" s="52"/>
      <c r="G46" s="73" t="s">
        <v>15</v>
      </c>
      <c r="H46" s="31" t="s">
        <v>16</v>
      </c>
      <c r="I46" s="82"/>
    </row>
    <row r="47" spans="1:11" ht="17" x14ac:dyDescent="0.2">
      <c r="A47" s="77"/>
      <c r="B47" s="77"/>
      <c r="C47" s="77"/>
      <c r="D47" s="77"/>
      <c r="E47" s="77"/>
      <c r="F47" s="77"/>
      <c r="G47" s="73" t="s">
        <v>22</v>
      </c>
      <c r="H47" s="31" t="s">
        <v>42</v>
      </c>
      <c r="I47" s="82"/>
    </row>
    <row r="48" spans="1:11" hidden="1" x14ac:dyDescent="0.2">
      <c r="A48" s="16"/>
      <c r="B48" s="14"/>
      <c r="C48" s="14"/>
      <c r="D48" s="14"/>
      <c r="E48" s="14"/>
      <c r="F48" s="14"/>
      <c r="G48" s="14"/>
      <c r="H48" s="14"/>
      <c r="I48" s="82"/>
    </row>
    <row r="51" spans="3:3" hidden="1" x14ac:dyDescent="0.2">
      <c r="C51" s="1"/>
    </row>
  </sheetData>
  <mergeCells count="7">
    <mergeCell ref="K2:L2"/>
    <mergeCell ref="B11:D11"/>
    <mergeCell ref="B10:C10"/>
    <mergeCell ref="C13:D13"/>
    <mergeCell ref="I43:I48"/>
    <mergeCell ref="I2:I42"/>
    <mergeCell ref="B6:C6"/>
  </mergeCells>
  <pageMargins left="0.25" right="0.25" top="0.75" bottom="0.75" header="0.3" footer="0.3"/>
  <pageSetup scale="6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1508-2F47-40AC-9DE4-9CC3FDC7C81F}">
  <dimension ref="A1:F5"/>
  <sheetViews>
    <sheetView workbookViewId="0">
      <selection activeCell="F2" sqref="F2"/>
    </sheetView>
  </sheetViews>
  <sheetFormatPr baseColWidth="10" defaultRowHeight="15" x14ac:dyDescent="0.2"/>
  <cols>
    <col min="2" max="2" width="32" bestFit="1" customWidth="1"/>
    <col min="3" max="3" width="53.6640625" bestFit="1" customWidth="1"/>
    <col min="4" max="4" width="17" bestFit="1" customWidth="1"/>
    <col min="5" max="5" width="11.83203125" bestFit="1" customWidth="1"/>
    <col min="6" max="6" width="17.5" style="11" bestFit="1" customWidth="1"/>
  </cols>
  <sheetData>
    <row r="1" spans="1:6" x14ac:dyDescent="0.2">
      <c r="A1" s="19" t="s">
        <v>3</v>
      </c>
      <c r="B1" s="19" t="s">
        <v>54</v>
      </c>
      <c r="C1" s="19" t="s">
        <v>50</v>
      </c>
      <c r="D1" s="19" t="s">
        <v>5</v>
      </c>
      <c r="E1" s="19" t="s">
        <v>51</v>
      </c>
      <c r="F1" s="19" t="s">
        <v>71</v>
      </c>
    </row>
    <row r="2" spans="1:6" ht="15" customHeight="1" x14ac:dyDescent="0.2">
      <c r="A2">
        <v>111008</v>
      </c>
      <c r="B2" t="s">
        <v>60</v>
      </c>
      <c r="C2" t="s">
        <v>57</v>
      </c>
      <c r="D2" s="15" t="s">
        <v>8</v>
      </c>
      <c r="E2" s="17" t="s">
        <v>64</v>
      </c>
      <c r="F2" s="11" t="s">
        <v>62</v>
      </c>
    </row>
    <row r="3" spans="1:6" ht="15" customHeight="1" x14ac:dyDescent="0.2">
      <c r="A3">
        <v>111008</v>
      </c>
      <c r="B3" t="s">
        <v>60</v>
      </c>
      <c r="C3" t="s">
        <v>57</v>
      </c>
      <c r="D3" s="15" t="s">
        <v>58</v>
      </c>
      <c r="E3" s="17" t="s">
        <v>64</v>
      </c>
      <c r="F3" s="11" t="s">
        <v>62</v>
      </c>
    </row>
    <row r="4" spans="1:6" x14ac:dyDescent="0.2">
      <c r="A4">
        <v>125020</v>
      </c>
      <c r="B4" t="s">
        <v>53</v>
      </c>
      <c r="C4" t="s">
        <v>59</v>
      </c>
      <c r="D4" s="15"/>
      <c r="E4" t="s">
        <v>65</v>
      </c>
      <c r="F4" s="11" t="s">
        <v>67</v>
      </c>
    </row>
    <row r="5" spans="1:6" x14ac:dyDescent="0.2">
      <c r="A5">
        <v>147006</v>
      </c>
      <c r="B5" t="s">
        <v>69</v>
      </c>
      <c r="C5" t="s">
        <v>70</v>
      </c>
      <c r="D5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CD81-FF74-4615-9937-AC8E05B80C69}">
  <dimension ref="A1:M11"/>
  <sheetViews>
    <sheetView tabSelected="1" topLeftCell="B1" workbookViewId="0">
      <selection activeCell="M2" sqref="M2"/>
    </sheetView>
  </sheetViews>
  <sheetFormatPr baseColWidth="10" defaultRowHeight="15" x14ac:dyDescent="0.2"/>
  <cols>
    <col min="3" max="3" width="34.33203125" customWidth="1"/>
    <col min="4" max="4" width="12" customWidth="1"/>
    <col min="5" max="5" width="15" bestFit="1" customWidth="1"/>
    <col min="8" max="8" width="14.1640625" bestFit="1" customWidth="1"/>
    <col min="9" max="9" width="14" style="11" bestFit="1" customWidth="1"/>
    <col min="10" max="10" width="15.83203125" bestFit="1" customWidth="1"/>
    <col min="11" max="11" width="24.83203125" bestFit="1" customWidth="1"/>
    <col min="12" max="12" width="34.6640625" customWidth="1"/>
    <col min="13" max="13" width="12.83203125" bestFit="1" customWidth="1"/>
  </cols>
  <sheetData>
    <row r="1" spans="1:13" ht="17" x14ac:dyDescent="0.2">
      <c r="A1" s="20" t="s">
        <v>26</v>
      </c>
      <c r="B1" s="3" t="s">
        <v>27</v>
      </c>
      <c r="C1" s="3" t="s">
        <v>61</v>
      </c>
      <c r="D1" s="3" t="s">
        <v>28</v>
      </c>
      <c r="E1" s="3" t="s">
        <v>29</v>
      </c>
      <c r="F1" s="4" t="s">
        <v>30</v>
      </c>
      <c r="G1" s="4" t="s">
        <v>31</v>
      </c>
      <c r="H1" s="3" t="s">
        <v>32</v>
      </c>
      <c r="I1" s="3" t="s">
        <v>47</v>
      </c>
      <c r="J1" s="30" t="s">
        <v>71</v>
      </c>
      <c r="K1" s="30" t="s">
        <v>63</v>
      </c>
      <c r="L1" s="30" t="s">
        <v>52</v>
      </c>
      <c r="M1" s="30" t="s">
        <v>72</v>
      </c>
    </row>
    <row r="2" spans="1:13" x14ac:dyDescent="0.2">
      <c r="A2" s="18" t="s">
        <v>33</v>
      </c>
      <c r="B2" s="5">
        <v>504757</v>
      </c>
      <c r="C2" s="6" t="s">
        <v>41</v>
      </c>
      <c r="D2" s="5" t="s">
        <v>34</v>
      </c>
      <c r="E2" s="7">
        <v>2.06</v>
      </c>
      <c r="F2" s="8">
        <v>20</v>
      </c>
      <c r="G2" s="8">
        <v>70</v>
      </c>
      <c r="H2" s="9">
        <f t="shared" ref="H2:H11" si="0">E2*F2</f>
        <v>41.2</v>
      </c>
      <c r="I2" s="12">
        <v>658480001101</v>
      </c>
      <c r="J2" s="29" t="s">
        <v>62</v>
      </c>
      <c r="K2" s="29" t="str">
        <f>_xlfn.CONCAT(Tabla3[[#This Row],[CODIGO]],Tabla3[[#This Row],[LISTA_PRECIOS]])</f>
        <v>504757AUCCN</v>
      </c>
      <c r="L2" s="29" t="s">
        <v>60</v>
      </c>
      <c r="M2" s="84" t="s">
        <v>73</v>
      </c>
    </row>
    <row r="3" spans="1:13" x14ac:dyDescent="0.2">
      <c r="A3" s="21" t="s">
        <v>35</v>
      </c>
      <c r="B3" s="5">
        <v>505252</v>
      </c>
      <c r="C3" s="6" t="s">
        <v>25</v>
      </c>
      <c r="D3" s="5" t="s">
        <v>36</v>
      </c>
      <c r="E3" s="7">
        <v>1.61</v>
      </c>
      <c r="F3" s="10">
        <v>42</v>
      </c>
      <c r="G3" s="10">
        <v>20</v>
      </c>
      <c r="H3" s="9">
        <f t="shared" si="0"/>
        <v>67.62</v>
      </c>
      <c r="I3" s="12">
        <v>7441029500400</v>
      </c>
      <c r="J3" s="29" t="s">
        <v>62</v>
      </c>
      <c r="K3" s="10" t="str">
        <f>_xlfn.CONCAT(Tabla3[[#This Row],[CODIGO]],Tabla3[[#This Row],[LISTA_PRECIOS]])</f>
        <v>505252AUCCN</v>
      </c>
      <c r="L3" s="29" t="s">
        <v>60</v>
      </c>
      <c r="M3" s="84" t="s">
        <v>73</v>
      </c>
    </row>
    <row r="4" spans="1:13" x14ac:dyDescent="0.2">
      <c r="A4" s="21" t="s">
        <v>35</v>
      </c>
      <c r="B4" s="5">
        <v>1233</v>
      </c>
      <c r="C4" s="6" t="s">
        <v>24</v>
      </c>
      <c r="D4" s="5" t="s">
        <v>37</v>
      </c>
      <c r="E4" s="7">
        <v>1.61</v>
      </c>
      <c r="F4" s="10">
        <v>42</v>
      </c>
      <c r="G4" s="10">
        <v>20</v>
      </c>
      <c r="H4" s="9">
        <f t="shared" si="0"/>
        <v>67.62</v>
      </c>
      <c r="I4" s="12">
        <v>7441029556025</v>
      </c>
      <c r="J4" s="29" t="s">
        <v>62</v>
      </c>
      <c r="K4" s="10" t="str">
        <f>_xlfn.CONCAT(Tabla3[[#This Row],[CODIGO]],Tabla3[[#This Row],[LISTA_PRECIOS]])</f>
        <v>1233AUCCN</v>
      </c>
      <c r="L4" s="29" t="s">
        <v>60</v>
      </c>
      <c r="M4" s="84" t="s">
        <v>73</v>
      </c>
    </row>
    <row r="5" spans="1:13" x14ac:dyDescent="0.2">
      <c r="A5" s="21" t="s">
        <v>35</v>
      </c>
      <c r="B5" s="11">
        <v>24184</v>
      </c>
      <c r="C5" s="13" t="s">
        <v>23</v>
      </c>
      <c r="D5" s="5">
        <v>210</v>
      </c>
      <c r="E5" s="7">
        <v>1.61</v>
      </c>
      <c r="F5" s="10">
        <v>42</v>
      </c>
      <c r="G5" s="10">
        <v>20</v>
      </c>
      <c r="H5" s="9">
        <f t="shared" si="0"/>
        <v>67.62</v>
      </c>
      <c r="I5" s="12">
        <v>7441029507041</v>
      </c>
      <c r="J5" s="29" t="s">
        <v>62</v>
      </c>
      <c r="K5" s="10" t="str">
        <f>_xlfn.CONCAT(Tabla3[[#This Row],[CODIGO]],Tabla3[[#This Row],[LISTA_PRECIOS]])</f>
        <v>24184AUCCN</v>
      </c>
      <c r="L5" s="29" t="s">
        <v>60</v>
      </c>
      <c r="M5" s="84" t="s">
        <v>73</v>
      </c>
    </row>
    <row r="6" spans="1:13" x14ac:dyDescent="0.2">
      <c r="A6" s="22" t="s">
        <v>38</v>
      </c>
      <c r="B6" s="23">
        <v>5707</v>
      </c>
      <c r="C6" s="24" t="s">
        <v>39</v>
      </c>
      <c r="D6" s="23" t="s">
        <v>40</v>
      </c>
      <c r="E6" s="25">
        <v>1.9</v>
      </c>
      <c r="F6" s="26">
        <v>18</v>
      </c>
      <c r="G6" s="26">
        <v>30</v>
      </c>
      <c r="H6" s="27">
        <f t="shared" si="0"/>
        <v>34.199999999999996</v>
      </c>
      <c r="I6" s="28">
        <v>7441029500141</v>
      </c>
      <c r="J6" s="29" t="s">
        <v>62</v>
      </c>
      <c r="K6" s="26" t="str">
        <f>_xlfn.CONCAT(Tabla3[[#This Row],[CODIGO]],Tabla3[[#This Row],[LISTA_PRECIOS]])</f>
        <v>5707AUCCN</v>
      </c>
      <c r="L6" s="29" t="s">
        <v>60</v>
      </c>
      <c r="M6" s="84" t="s">
        <v>73</v>
      </c>
    </row>
    <row r="7" spans="1:13" x14ac:dyDescent="0.2">
      <c r="A7" s="21" t="s">
        <v>33</v>
      </c>
      <c r="B7" s="5">
        <v>504757</v>
      </c>
      <c r="C7" s="6" t="s">
        <v>41</v>
      </c>
      <c r="D7" s="5" t="s">
        <v>34</v>
      </c>
      <c r="E7" s="7">
        <v>2.2599999999999998</v>
      </c>
      <c r="F7" s="10">
        <v>20</v>
      </c>
      <c r="G7" s="10">
        <v>70</v>
      </c>
      <c r="H7" s="9">
        <f t="shared" si="0"/>
        <v>45.199999999999996</v>
      </c>
      <c r="I7" s="12">
        <v>658480001101</v>
      </c>
      <c r="J7" s="10" t="s">
        <v>67</v>
      </c>
      <c r="K7" s="10" t="str">
        <f>_xlfn.CONCAT(Tabla3[[#This Row],[CODIGO]],Tabla3[[#This Row],[LISTA_PRECIOS]])</f>
        <v>504757AUBRAVO</v>
      </c>
      <c r="L7" s="10" t="s">
        <v>53</v>
      </c>
      <c r="M7" s="84" t="s">
        <v>73</v>
      </c>
    </row>
    <row r="8" spans="1:13" x14ac:dyDescent="0.2">
      <c r="A8" s="21" t="s">
        <v>35</v>
      </c>
      <c r="B8" s="5">
        <v>505252</v>
      </c>
      <c r="C8" s="6" t="s">
        <v>25</v>
      </c>
      <c r="D8" s="5" t="s">
        <v>36</v>
      </c>
      <c r="E8" s="7">
        <v>1.7</v>
      </c>
      <c r="F8" s="10">
        <v>42</v>
      </c>
      <c r="G8" s="10">
        <v>20</v>
      </c>
      <c r="H8" s="9">
        <f t="shared" si="0"/>
        <v>71.399999999999991</v>
      </c>
      <c r="I8" s="12">
        <v>7441029500400</v>
      </c>
      <c r="J8" s="10" t="s">
        <v>67</v>
      </c>
      <c r="K8" s="10" t="str">
        <f>_xlfn.CONCAT(Tabla3[[#This Row],[CODIGO]],Tabla3[[#This Row],[LISTA_PRECIOS]])</f>
        <v>505252AUBRAVO</v>
      </c>
      <c r="L8" s="10" t="s">
        <v>53</v>
      </c>
      <c r="M8" s="84" t="s">
        <v>73</v>
      </c>
    </row>
    <row r="9" spans="1:13" x14ac:dyDescent="0.2">
      <c r="A9" s="21" t="s">
        <v>35</v>
      </c>
      <c r="B9" s="5">
        <v>1233</v>
      </c>
      <c r="C9" s="6" t="s">
        <v>24</v>
      </c>
      <c r="D9" s="5" t="s">
        <v>37</v>
      </c>
      <c r="E9" s="7">
        <v>1.7</v>
      </c>
      <c r="F9" s="10">
        <v>42</v>
      </c>
      <c r="G9" s="10">
        <v>20</v>
      </c>
      <c r="H9" s="9">
        <f t="shared" si="0"/>
        <v>71.399999999999991</v>
      </c>
      <c r="I9" s="12">
        <v>7441029556025</v>
      </c>
      <c r="J9" s="10" t="s">
        <v>67</v>
      </c>
      <c r="K9" s="10" t="str">
        <f>_xlfn.CONCAT(Tabla3[[#This Row],[CODIGO]],Tabla3[[#This Row],[LISTA_PRECIOS]])</f>
        <v>1233AUBRAVO</v>
      </c>
      <c r="L9" s="10" t="s">
        <v>53</v>
      </c>
      <c r="M9" s="84" t="s">
        <v>73</v>
      </c>
    </row>
    <row r="10" spans="1:13" x14ac:dyDescent="0.2">
      <c r="A10" s="21" t="s">
        <v>35</v>
      </c>
      <c r="B10" s="5">
        <v>24184</v>
      </c>
      <c r="C10" s="6" t="s">
        <v>23</v>
      </c>
      <c r="D10" s="5">
        <v>210</v>
      </c>
      <c r="E10" s="7">
        <v>1.7</v>
      </c>
      <c r="F10" s="10">
        <v>42</v>
      </c>
      <c r="G10" s="10">
        <v>20</v>
      </c>
      <c r="H10" s="9">
        <f t="shared" si="0"/>
        <v>71.399999999999991</v>
      </c>
      <c r="I10" s="12">
        <v>7441029507041</v>
      </c>
      <c r="J10" s="10" t="s">
        <v>67</v>
      </c>
      <c r="K10" s="10" t="str">
        <f>_xlfn.CONCAT(Tabla3[[#This Row],[CODIGO]],Tabla3[[#This Row],[LISTA_PRECIOS]])</f>
        <v>24184AUBRAVO</v>
      </c>
      <c r="L10" s="10" t="s">
        <v>53</v>
      </c>
      <c r="M10" s="84" t="s">
        <v>73</v>
      </c>
    </row>
    <row r="11" spans="1:13" x14ac:dyDescent="0.2">
      <c r="A11" s="22" t="s">
        <v>38</v>
      </c>
      <c r="B11" s="23">
        <v>5707</v>
      </c>
      <c r="C11" s="24" t="s">
        <v>39</v>
      </c>
      <c r="D11" s="23" t="s">
        <v>40</v>
      </c>
      <c r="E11" s="32">
        <v>2</v>
      </c>
      <c r="F11" s="26">
        <v>18</v>
      </c>
      <c r="G11" s="26">
        <v>30</v>
      </c>
      <c r="H11" s="27">
        <f t="shared" si="0"/>
        <v>36</v>
      </c>
      <c r="I11" s="28">
        <v>7441029500141</v>
      </c>
      <c r="J11" s="10" t="s">
        <v>67</v>
      </c>
      <c r="K11" s="26" t="str">
        <f>_xlfn.CONCAT(Tabla3[[#This Row],[CODIGO]],Tabla3[[#This Row],[LISTA_PRECIOS]])</f>
        <v>5707AUBRAVO</v>
      </c>
      <c r="L11" s="10" t="s">
        <v>53</v>
      </c>
      <c r="M11" s="84" t="s">
        <v>73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b12f818-7d26-4eab-9c63-bdc5e02b0fb1}" enabled="1" method="Standard" siteId="{973ba820-4a58-4246-84bf-170e50b315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Orden</vt:lpstr>
      <vt:lpstr>Clientes</vt:lpstr>
      <vt:lpstr>Precios</vt:lpstr>
      <vt:lpstr>Orden!Área_de_impresión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José Almanzar De La Rosa</dc:creator>
  <cp:lastModifiedBy>MAURICIO GONZALEZ GOMEZ</cp:lastModifiedBy>
  <cp:lastPrinted>2026-05-28T15:14:05Z</cp:lastPrinted>
  <dcterms:created xsi:type="dcterms:W3CDTF">2015-06-05T18:17:20Z</dcterms:created>
  <dcterms:modified xsi:type="dcterms:W3CDTF">2026-05-29T09:55:43Z</dcterms:modified>
</cp:coreProperties>
</file>